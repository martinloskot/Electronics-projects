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tin\zesilovač exnerova\"/>
    </mc:Choice>
  </mc:AlternateContent>
  <xr:revisionPtr revIDLastSave="0" documentId="13_ncr:1_{667DEAC8-67AC-4F92-838A-12119BD0BBC3}" xr6:coauthVersionLast="47" xr6:coauthVersionMax="47" xr10:uidLastSave="{00000000-0000-0000-0000-000000000000}"/>
  <bookViews>
    <workbookView xWindow="-120" yWindow="-120" windowWidth="29040" windowHeight="15840" xr2:uid="{935708F6-CA8F-4AE2-9797-E5FC92543DC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C2" i="1"/>
  <c r="E2" i="1"/>
  <c r="F2" i="1" s="1"/>
  <c r="G6" i="1"/>
  <c r="H6" i="1"/>
  <c r="I6" i="1"/>
  <c r="J6" i="1"/>
  <c r="C10" i="1"/>
  <c r="E10" i="1"/>
  <c r="C11" i="1"/>
  <c r="E11" i="1"/>
  <c r="A18" i="1"/>
  <c r="B18" i="1"/>
  <c r="D18" i="1" s="1"/>
  <c r="C18" i="1"/>
  <c r="E18" i="1"/>
  <c r="H18" i="1" s="1"/>
  <c r="F18" i="1"/>
  <c r="G18" i="1"/>
  <c r="I18" i="1"/>
  <c r="J18" i="1"/>
  <c r="K18" i="1"/>
  <c r="G2" i="1" l="1"/>
  <c r="C6" i="1"/>
  <c r="H2" i="1"/>
  <c r="A6" i="1"/>
  <c r="D6" i="1" l="1"/>
  <c r="B6" i="1"/>
</calcChain>
</file>

<file path=xl/sharedStrings.xml><?xml version="1.0" encoding="utf-8"?>
<sst xmlns="http://schemas.openxmlformats.org/spreadsheetml/2006/main" count="38" uniqueCount="35">
  <si>
    <r>
      <t>A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/-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</si>
  <si>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výst</t>
    </r>
    <r>
      <rPr>
        <sz val="11"/>
        <color theme="1"/>
        <rFont val="Aptos Narrow"/>
        <family val="2"/>
        <scheme val="minor"/>
      </rPr>
      <t>/mV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</si>
  <si>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vst</t>
    </r>
    <r>
      <rPr>
        <sz val="11"/>
        <color theme="1"/>
        <rFont val="Aptos Narrow"/>
        <family val="2"/>
        <scheme val="minor"/>
      </rPr>
      <t>/mV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</si>
  <si>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výst</t>
    </r>
    <r>
      <rPr>
        <sz val="11"/>
        <color theme="1"/>
        <rFont val="Aptos Narrow"/>
        <family val="2"/>
        <scheme val="minor"/>
      </rPr>
      <t>/kΩ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</si>
  <si>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výst</t>
    </r>
    <r>
      <rPr>
        <sz val="11"/>
        <color theme="1"/>
        <rFont val="Aptos Narrow"/>
        <family val="2"/>
        <charset val="238"/>
        <scheme val="minor"/>
      </rPr>
      <t>/</t>
    </r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charset val="238"/>
        <scheme val="minor"/>
      </rPr>
      <t>A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</si>
  <si>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0výst</t>
    </r>
    <r>
      <rPr>
        <sz val="11"/>
        <color theme="1"/>
        <rFont val="Aptos Narrow"/>
        <family val="2"/>
        <scheme val="minor"/>
      </rPr>
      <t>/mV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</si>
  <si>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vst</t>
    </r>
    <r>
      <rPr>
        <sz val="11"/>
        <color theme="1"/>
        <rFont val="Aptos Narrow"/>
        <family val="2"/>
        <scheme val="minor"/>
      </rPr>
      <t>/kΩ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</si>
  <si>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vst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A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</si>
  <si>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Cteo</t>
    </r>
    <r>
      <rPr>
        <sz val="11"/>
        <color theme="1"/>
        <rFont val="Aptos Narrow"/>
        <family val="2"/>
        <scheme val="minor"/>
      </rPr>
      <t xml:space="preserve">/A </t>
    </r>
  </si>
  <si>
    <r>
      <t>Rz/k</t>
    </r>
    <r>
      <rPr>
        <sz val="11"/>
        <color theme="1"/>
        <rFont val="Aptos Narrow"/>
        <family val="2"/>
      </rPr>
      <t>Ω</t>
    </r>
  </si>
  <si>
    <t>Uvst/mV</t>
  </si>
  <si>
    <t>f/kHz</t>
  </si>
  <si>
    <t>měřené</t>
  </si>
  <si>
    <t>teorie</t>
  </si>
  <si>
    <r>
      <t>U</t>
    </r>
    <r>
      <rPr>
        <vertAlign val="subscript"/>
        <sz val="11"/>
        <color theme="1"/>
        <rFont val="Aptos Narrow"/>
        <family val="2"/>
        <scheme val="minor"/>
      </rPr>
      <t>BE</t>
    </r>
    <r>
      <rPr>
        <sz val="11"/>
        <color theme="1"/>
        <rFont val="Aptos Narrow"/>
        <family val="2"/>
        <scheme val="minor"/>
      </rPr>
      <t>/mV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</si>
  <si>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/V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</si>
  <si>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RE</t>
    </r>
    <r>
      <rPr>
        <sz val="11"/>
        <color theme="1"/>
        <rFont val="Aptos Narrow"/>
        <family val="2"/>
        <scheme val="minor"/>
      </rPr>
      <t>/mV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</si>
  <si>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/V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</si>
  <si>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38"/>
        <scheme val="minor"/>
      </rPr>
      <t>/nF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</si>
  <si>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>/μF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</si>
  <si>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/μF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</si>
  <si>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38"/>
        <scheme val="minor"/>
      </rPr>
      <t>/μF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</si>
  <si>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charset val="238"/>
        <scheme val="minor"/>
      </rPr>
      <t>/</t>
    </r>
    <r>
      <rPr>
        <sz val="11"/>
        <color theme="1"/>
        <rFont val="Aptos Narrow"/>
        <family val="2"/>
      </rPr>
      <t>Ω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</si>
  <si>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2"/>
      </rPr>
      <t>Ω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</si>
  <si>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B2</t>
    </r>
    <r>
      <rPr>
        <sz val="11"/>
        <color theme="1"/>
        <rFont val="Aptos Narrow"/>
        <family val="2"/>
        <scheme val="minor"/>
      </rPr>
      <t>/k</t>
    </r>
    <r>
      <rPr>
        <sz val="11"/>
        <color theme="1"/>
        <rFont val="Aptos Narrow"/>
        <family val="2"/>
      </rPr>
      <t>Ω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</si>
  <si>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B1</t>
    </r>
    <r>
      <rPr>
        <sz val="11"/>
        <color theme="1"/>
        <rFont val="Aptos Narrow"/>
        <family val="2"/>
        <scheme val="minor"/>
      </rPr>
      <t>/k</t>
    </r>
    <r>
      <rPr>
        <sz val="11"/>
        <color theme="1"/>
        <rFont val="Aptos Narrow"/>
        <family val="2"/>
      </rPr>
      <t>Ω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</si>
  <si>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/μA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</si>
  <si>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A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</si>
  <si>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>/mV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</si>
  <si>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CEP</t>
    </r>
    <r>
      <rPr>
        <sz val="11"/>
        <color theme="1"/>
        <rFont val="Aptos Narrow"/>
        <family val="2"/>
        <charset val="238"/>
        <scheme val="minor"/>
      </rPr>
      <t>/V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</si>
  <si>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>/V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</si>
  <si>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21E</t>
    </r>
    <r>
      <rPr>
        <sz val="11"/>
        <color theme="1"/>
        <rFont val="Aptos Narrow"/>
        <family val="2"/>
        <charset val="238"/>
        <scheme val="minor"/>
      </rPr>
      <t xml:space="preserve"> / -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</si>
  <si>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BEP</t>
    </r>
    <r>
      <rPr>
        <sz val="11"/>
        <color theme="1"/>
        <rFont val="Aptos Narrow"/>
        <family val="2"/>
        <charset val="238"/>
        <scheme val="minor"/>
      </rPr>
      <t>/mV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</si>
  <si>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CC</t>
    </r>
    <r>
      <rPr>
        <sz val="11"/>
        <color theme="1"/>
        <rFont val="Aptos Narrow"/>
        <family val="2"/>
        <scheme val="minor"/>
      </rPr>
      <t>/V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</si>
  <si>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CP</t>
    </r>
    <r>
      <rPr>
        <sz val="11"/>
        <color theme="1"/>
        <rFont val="Aptos Narrow"/>
        <family val="2"/>
        <charset val="238"/>
        <scheme val="minor"/>
      </rPr>
      <t>/mA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</si>
</sst>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1" fontId="0" fillId="0" borderId="1" xfId="0" applyNumberFormat="1" applyBorder="1"/>
    <xf numFmtId="0" fontId="1" fillId="0" borderId="1" xfId="0" applyFont="1" applyBorder="1"/>
    <xf numFmtId="11" fontId="0" fillId="0" borderId="0" xfId="0" applyNumberFormat="1"/>
    <xf numFmtId="165" fontId="0" fillId="0" borderId="1" xfId="0" applyNumberFormat="1" applyBorder="1"/>
    <xf numFmtId="2" fontId="0" fillId="0" borderId="0" xfId="0" applyNumberFormat="1"/>
    <xf numFmtId="0" fontId="1" fillId="0" borderId="2" xfId="0" applyFont="1" applyBorder="1"/>
    <xf numFmtId="1" fontId="0" fillId="0" borderId="1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E213-B463-4AC2-9E50-534AABF18997}">
  <dimension ref="A1:K18"/>
  <sheetViews>
    <sheetView tabSelected="1" workbookViewId="0">
      <selection activeCell="N5" sqref="N5"/>
    </sheetView>
  </sheetViews>
  <sheetFormatPr defaultRowHeight="15" x14ac:dyDescent="0.25"/>
  <sheetData>
    <row r="1" spans="1:11" ht="18" x14ac:dyDescent="0.35">
      <c r="A1" s="2" t="s">
        <v>34</v>
      </c>
      <c r="B1" s="2" t="s">
        <v>33</v>
      </c>
      <c r="C1" s="2" t="s">
        <v>32</v>
      </c>
      <c r="D1" s="2" t="s">
        <v>31</v>
      </c>
      <c r="E1" s="2" t="s">
        <v>30</v>
      </c>
      <c r="F1" s="2" t="s">
        <v>29</v>
      </c>
      <c r="G1" s="2" t="s">
        <v>16</v>
      </c>
      <c r="H1" s="2" t="s">
        <v>28</v>
      </c>
      <c r="I1" s="2" t="s">
        <v>27</v>
      </c>
      <c r="J1" s="2" t="s">
        <v>26</v>
      </c>
    </row>
    <row r="2" spans="1:11" x14ac:dyDescent="0.25">
      <c r="A2" s="1">
        <v>6</v>
      </c>
      <c r="B2" s="2">
        <v>10</v>
      </c>
      <c r="C2" s="10">
        <f>0.65*1000</f>
        <v>650</v>
      </c>
      <c r="D2" s="10">
        <v>400</v>
      </c>
      <c r="E2" s="10">
        <f>0.5*B2</f>
        <v>5</v>
      </c>
      <c r="F2" s="1">
        <f>E2/1.1</f>
        <v>4.545454545454545</v>
      </c>
      <c r="G2" s="3">
        <f>0.1*F2*1000</f>
        <v>454.5454545454545</v>
      </c>
      <c r="H2" s="1">
        <f>C2+G2</f>
        <v>1104.5454545454545</v>
      </c>
      <c r="I2" s="10">
        <f>0.05*A2*1000</f>
        <v>300.00000000000006</v>
      </c>
      <c r="J2" s="10">
        <f>A2/D2*1000</f>
        <v>15</v>
      </c>
    </row>
    <row r="5" spans="1:11" ht="18" x14ac:dyDescent="0.35">
      <c r="A5" s="2" t="s">
        <v>25</v>
      </c>
      <c r="B5" s="2" t="s">
        <v>24</v>
      </c>
      <c r="C5" s="2" t="s">
        <v>23</v>
      </c>
      <c r="D5" s="2" t="s">
        <v>22</v>
      </c>
      <c r="G5" s="2" t="s">
        <v>21</v>
      </c>
      <c r="H5" s="2" t="s">
        <v>20</v>
      </c>
      <c r="I5" s="2" t="s">
        <v>19</v>
      </c>
      <c r="J5" s="2" t="s">
        <v>18</v>
      </c>
    </row>
    <row r="6" spans="1:11" x14ac:dyDescent="0.25">
      <c r="A6" s="10">
        <f>((B2*1000)-C2-G2)/(I2+J2)</f>
        <v>28.239538239538238</v>
      </c>
      <c r="B6" s="3">
        <f>(C2+G2)/I2</f>
        <v>3.6818181818181808</v>
      </c>
      <c r="C6" s="10">
        <f>((B2-F2-(G2/1000))/A2)*1000</f>
        <v>833.33333333333348</v>
      </c>
      <c r="D6" s="10">
        <f>G2/A2</f>
        <v>75.757575757575751</v>
      </c>
      <c r="G6" s="10">
        <f>0.00001*1000000</f>
        <v>10</v>
      </c>
      <c r="H6" s="10">
        <f>0.00001*1000000</f>
        <v>10</v>
      </c>
      <c r="I6" s="10">
        <f>0.0001*1000000</f>
        <v>100</v>
      </c>
      <c r="J6" s="10">
        <f>0.0000001*1000000000</f>
        <v>100</v>
      </c>
    </row>
    <row r="8" spans="1:11" x14ac:dyDescent="0.25">
      <c r="J8" s="6"/>
    </row>
    <row r="9" spans="1:11" ht="18" x14ac:dyDescent="0.35">
      <c r="B9" s="9" t="s">
        <v>17</v>
      </c>
      <c r="C9" s="9" t="s">
        <v>16</v>
      </c>
      <c r="D9" s="9" t="s">
        <v>15</v>
      </c>
      <c r="E9" s="9" t="s">
        <v>14</v>
      </c>
      <c r="K9" s="8"/>
    </row>
    <row r="10" spans="1:11" x14ac:dyDescent="0.25">
      <c r="A10" s="2" t="s">
        <v>13</v>
      </c>
      <c r="B10" s="1">
        <v>5</v>
      </c>
      <c r="C10" s="1">
        <f>0.454545454545455*1000</f>
        <v>454.54545454545496</v>
      </c>
      <c r="D10" s="7">
        <v>1.1045454545454545</v>
      </c>
      <c r="E10" s="1">
        <f>0.65*1000</f>
        <v>650</v>
      </c>
    </row>
    <row r="11" spans="1:11" x14ac:dyDescent="0.25">
      <c r="A11" s="2" t="s">
        <v>12</v>
      </c>
      <c r="B11" s="1">
        <v>5.3672000000000004</v>
      </c>
      <c r="C11" s="1">
        <f>0.39709*1000</f>
        <v>397.09</v>
      </c>
      <c r="D11" s="7">
        <v>1.05087</v>
      </c>
      <c r="E11" s="1">
        <f>0.65352*1000</f>
        <v>653.52</v>
      </c>
      <c r="F11" s="6"/>
      <c r="G11" s="6"/>
      <c r="H11" s="6"/>
      <c r="I11" s="6"/>
      <c r="J11" s="6"/>
      <c r="K11" s="6"/>
    </row>
    <row r="13" spans="1:11" x14ac:dyDescent="0.25">
      <c r="J13" s="6"/>
    </row>
    <row r="14" spans="1:11" x14ac:dyDescent="0.25">
      <c r="A14" s="2" t="s">
        <v>11</v>
      </c>
      <c r="B14" s="2" t="s">
        <v>10</v>
      </c>
      <c r="C14" s="2" t="s">
        <v>9</v>
      </c>
      <c r="J14" s="6"/>
    </row>
    <row r="15" spans="1:11" x14ac:dyDescent="0.25">
      <c r="A15" s="1">
        <v>1</v>
      </c>
      <c r="B15" s="1">
        <v>50</v>
      </c>
      <c r="C15" s="1">
        <v>10</v>
      </c>
      <c r="J15" s="6"/>
    </row>
    <row r="16" spans="1:11" x14ac:dyDescent="0.25">
      <c r="J16" s="6"/>
    </row>
    <row r="17" spans="1:11" ht="18" x14ac:dyDescent="0.35">
      <c r="A17" s="2" t="s">
        <v>8</v>
      </c>
      <c r="B17" s="5" t="s">
        <v>2</v>
      </c>
      <c r="C17" s="5" t="s">
        <v>7</v>
      </c>
      <c r="D17" s="5" t="s">
        <v>6</v>
      </c>
      <c r="E17" s="5" t="s">
        <v>5</v>
      </c>
      <c r="F17" s="5" t="s">
        <v>1</v>
      </c>
      <c r="G17" s="2" t="s">
        <v>4</v>
      </c>
      <c r="H17" s="5" t="s">
        <v>3</v>
      </c>
      <c r="I17" s="5" t="s">
        <v>2</v>
      </c>
      <c r="J17" s="5" t="s">
        <v>1</v>
      </c>
      <c r="K17" s="5" t="s">
        <v>0</v>
      </c>
    </row>
    <row r="18" spans="1:11" x14ac:dyDescent="0.25">
      <c r="A18" s="4">
        <f>A2</f>
        <v>6</v>
      </c>
      <c r="B18" s="3">
        <f>0.050196*1000</f>
        <v>50.195999999999998</v>
      </c>
      <c r="C18" s="1">
        <f>0.0000035*1000000</f>
        <v>3.5</v>
      </c>
      <c r="D18" s="3">
        <f>B18/C18</f>
        <v>14.341714285714286</v>
      </c>
      <c r="E18" s="2">
        <f>0.56323*1000</f>
        <v>563.23</v>
      </c>
      <c r="F18" s="2">
        <f>0.51632*1000</f>
        <v>516.32000000000005</v>
      </c>
      <c r="G18" s="1">
        <f>0.0000469*1000000</f>
        <v>46.9</v>
      </c>
      <c r="H18" s="1">
        <f>(E18-F18)/G18</f>
        <v>1.0002132196162041</v>
      </c>
      <c r="I18" s="2">
        <f>0.050005*1000</f>
        <v>50.005000000000003</v>
      </c>
      <c r="J18" s="2">
        <f>0.56307*1000</f>
        <v>563.06999999999994</v>
      </c>
      <c r="K18" s="1">
        <f>J18/I18</f>
        <v>11.260273972602738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Loskot (student E4)</dc:creator>
  <cp:lastModifiedBy>Martin Loskot (student E4)</cp:lastModifiedBy>
  <dcterms:created xsi:type="dcterms:W3CDTF">2026-04-11T22:48:38Z</dcterms:created>
  <dcterms:modified xsi:type="dcterms:W3CDTF">2026-04-12T00:39:09Z</dcterms:modified>
</cp:coreProperties>
</file>